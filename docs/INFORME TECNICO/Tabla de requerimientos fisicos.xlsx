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rrolladores" sheetId="1" r:id="rId5"/>
    <sheet state="visible" name="Software" sheetId="2" r:id="rId6"/>
    <sheet state="visible" name="Usuarios" sheetId="3" r:id="rId7"/>
  </sheets>
  <definedNames/>
  <calcPr/>
</workbook>
</file>

<file path=xl/sharedStrings.xml><?xml version="1.0" encoding="utf-8"?>
<sst xmlns="http://schemas.openxmlformats.org/spreadsheetml/2006/main" count="240" uniqueCount="80">
  <si>
    <t xml:space="preserve">Ficha de requerimientos fisicos para el proyecto </t>
  </si>
  <si>
    <t>Nombre del proyecto:</t>
  </si>
  <si>
    <t>FACEATTEND EDU</t>
  </si>
  <si>
    <t>Integrantes:</t>
  </si>
  <si>
    <t>Diego Andres Gutierrez Nuñez</t>
  </si>
  <si>
    <t>Jonathan Stiven Rizo</t>
  </si>
  <si>
    <t>Juan David Arboleda Perdomo</t>
  </si>
  <si>
    <t>Requerimiento</t>
  </si>
  <si>
    <t>Especificaciones</t>
  </si>
  <si>
    <t>Uso</t>
  </si>
  <si>
    <t>Justificacion</t>
  </si>
  <si>
    <t>Cantidad</t>
  </si>
  <si>
    <t>Valor Unitario</t>
  </si>
  <si>
    <t xml:space="preserve">Valor Total </t>
  </si>
  <si>
    <t>Proveedor</t>
  </si>
  <si>
    <t>Aprobador</t>
  </si>
  <si>
    <t>Portatil</t>
  </si>
  <si>
    <t>Intel Core I3 de 10° generacion | Kingstone 16 de ram 4400MT/s ddr4 | Disco Solido adata de 120 Gb | pantalla 14.5 pulgadas</t>
  </si>
  <si>
    <t>Programacion</t>
  </si>
  <si>
    <t>Se requiere de este dispositivo para codificar el proyecto, se necesita estos equipos con estas especificaciones por ser las mas optimizadas para el manejo del proyecto y su codificacion</t>
  </si>
  <si>
    <t>https://www.falabella.com.co/falabella-co/product/140970655/PORTATIL-DELL-INTEL-CORE-I3-1215U-1TB-SSD-16GB-RAM-156-FHD/140970656?</t>
  </si>
  <si>
    <t>PC Escritorio</t>
  </si>
  <si>
    <t>Intel Core I5 de 7° generacion | Kingstone 16 de ram 550MT/s ddr4 | Disco solido Adata de 240 Gb | Monitor 24 pulgadas</t>
  </si>
  <si>
    <t>Tester</t>
  </si>
  <si>
    <t>Se requiere de este dispositivo para hacer prueba de el proyecto, se necesita con estas especificaciones por ser las mas optimizadas para hacer pruebas y verificacion de errores o bugs</t>
  </si>
  <si>
    <t>https://encarguelo.com/producto/B0BN1VRT4T/dell-computadora-de-escritorio-optiplex-7050-intel-core-i5-7500-340ghz-16gb-ddr4-ram-1tb-ssd-wi-fi-integrado-bluetooth-windows-11-pro-soporte-4k-hd-graphics-630-renovado?</t>
  </si>
  <si>
    <t>Mouse</t>
  </si>
  <si>
    <t xml:space="preserve">Mause Logitech optico generico de cable USB </t>
  </si>
  <si>
    <t>Periferico</t>
  </si>
  <si>
    <t>Se requiere de este periferico para hacer control y transferencia de datos del mundo fisico al digital para asi mismo tener la capacida de manipular los datos que se registran en la pantalla del pc</t>
  </si>
  <si>
    <r>
      <rPr>
        <color rgb="FF1155CC"/>
        <u/>
      </rPr>
      <t>Mouse Logitech Alambrico Optico USB Negro M110 SILENT 910-005493</t>
    </r>
  </si>
  <si>
    <t>Teclado</t>
  </si>
  <si>
    <t>Teclado Hewlett-Packard mecanico generico de cable USB</t>
  </si>
  <si>
    <t>Se requiere de este periferico para hacer ingreso de datos al pc, tener la capacidad de modificar valores y tener un mejor uso del equipo pc</t>
  </si>
  <si>
    <r>
      <rPr>
        <color rgb="FF1155CC"/>
        <u/>
      </rPr>
      <t>Amazon.com: HP Hewlett Packard Business Negro USB Slim Style Windows Teclado mejorado P/N 803823-001 : Electrónica</t>
    </r>
  </si>
  <si>
    <t>Servidor</t>
  </si>
  <si>
    <t>Intel Core I5 de 7° generacion | Kingstone 24 Gb de ram 550MT/s ddr4 | Disco solido Adata de 512 Gb | Monitor 24 pulgadas</t>
  </si>
  <si>
    <t>Fijar Sistema</t>
  </si>
  <si>
    <t>Se requiere de este dispositivo para uso y ejecucion de el proyecto, se necesita con estas especificaciones por ser las mas optimizadas para hacer uso del programa con eficiencia y rendimiento</t>
  </si>
  <si>
    <r>
      <rPr>
        <color rgb="FF1155CC"/>
        <u/>
      </rPr>
      <t>Torre Dell Optiplex 7050 Micro Core I5 7th 8gb Ssd 240gb</t>
    </r>
  </si>
  <si>
    <t>Modem</t>
  </si>
  <si>
    <t>Dual Band 2.4Ghz - 5Ghz | WiFi 5 / WiFi 6 | Download Speed 30 Mbps - Upload Speed 20 Mbps</t>
  </si>
  <si>
    <t>Facilitar Conexion IoT</t>
  </si>
  <si>
    <t>Se requiere de este dispositvo para hacer una conexion estable entre el servidor y la nube para asi mismo permitir el correcto registro en el sistema</t>
  </si>
  <si>
    <t>https://www.alkosto.com/router-tp-link-wifi-6-4-antenas-ax1500-mbps-archer-ax12/p/840030705380?</t>
  </si>
  <si>
    <t>Camara Optica</t>
  </si>
  <si>
    <t>Camara Optica de 2K | sensor CMOS | 30-40 fps | FOV 70°-90°</t>
  </si>
  <si>
    <t>Registrar Imagen</t>
  </si>
  <si>
    <t>Se requiere de este periferico para hacer el registro de la imagen optica del usuario para asi mismo iniciar el proceso de registro mediante el aplicativo y el registro en la nube</t>
  </si>
  <si>
    <t>https://www.mercadolibre.com.co/camara-web-usb-full-hd-2k-para-computadora-con-microfono/p/MCO2006687087?matt_tool=19390127&amp;pdp_filters=item_id%3AMCO2330707766&amp;from=gshop</t>
  </si>
  <si>
    <t>Total:</t>
  </si>
  <si>
    <t>Intel Core i5 11° Gen | 16GB RAM DDR4 | SSD 256GB NVMe | Pantalla 15.6” FHD</t>
  </si>
  <si>
    <t>Se requiere un equipo portátil con mejor procesador y almacenamiento que la propuesta inicial, para garantizar fluidez en compilación y multitarea</t>
  </si>
  <si>
    <t>Intel Core i7 8° Gen | Intel Core i7 8° Gen | SSD 512GB | Monitor 24”</t>
  </si>
  <si>
    <t>El testeo requiere más capacidad gráfica y almacenamiento rápido, garantizando estabilidad en simulaciones y pruebas de estres</t>
  </si>
  <si>
    <t>Logitech M185 Inalámbrico</t>
  </si>
  <si>
    <t>https://www.alkosto.com/mouse-logitech-inalambrico-m185/p/097855067122</t>
  </si>
  <si>
    <t>Logitech K120 USB</t>
  </si>
  <si>
    <t>https://www.mercadolibre.com.co/teclado-logitech-k120-usb/p/MCO6052210</t>
  </si>
  <si>
    <t>Intel Core i7 9° Gen | 32GB RAM DDR4 | SSD NVMe 1TB</t>
  </si>
  <si>
    <r>
      <rPr>
        <rFont val="Arial"/>
        <color rgb="FF1155CC"/>
        <u/>
      </rPr>
      <t>Torre Dell Optiplex 7050 Micro Core I5 7th 8gb Ssd 240gb</t>
    </r>
  </si>
  <si>
    <t>Router TP-Link WiFi 6 AX1800</t>
  </si>
  <si>
    <t>https://www.alkosto.com/router-tp-link-archer-ax20-ax1800/p/840030704605</t>
  </si>
  <si>
    <t>Logitech C920s Pro | Full HD 1080p | 30 fps | FOV 78°</t>
  </si>
  <si>
    <r>
      <rPr>
        <color rgb="FF1155CC"/>
        <u/>
      </rPr>
      <t>Mouse Logitech Alambrico Optico USB Negro M110 SILENT 910-005493</t>
    </r>
  </si>
  <si>
    <r>
      <rPr>
        <color rgb="FF1155CC"/>
        <u/>
      </rPr>
      <t>Amazon.com: HP Hewlett Packard Business Negro USB Slim Style Windows Teclado mejorado P/N 803823-001 : Electrónica</t>
    </r>
  </si>
  <si>
    <r>
      <rPr>
        <color rgb="FF1155CC"/>
        <u/>
      </rPr>
      <t>Torre Dell Optiplex 7050 Micro Core I5 7th 8gb Ssd 240gb</t>
    </r>
  </si>
  <si>
    <t>Tabla de requerimientos fisicos para el programa</t>
  </si>
  <si>
    <t>Nombre del programa:</t>
  </si>
  <si>
    <t>Se requiere de este dispositivo para uso y ejecucion de el programa, se necesita con estas especificaciones por ser las mas optimizadas para hacer uso del programa con eficiencia y rendimiento</t>
  </si>
  <si>
    <r>
      <rPr>
        <color rgb="FF1155CC"/>
        <u/>
      </rPr>
      <t>Torre Dell Optiplex 7050 Micro Core I5 7th 8gb Ssd 240gb</t>
    </r>
  </si>
  <si>
    <r>
      <rPr>
        <color rgb="FF1155CC"/>
        <u/>
      </rPr>
      <t>Mouse Logitech Alambrico Optico USB Negro M110 SILENT 910-005493</t>
    </r>
  </si>
  <si>
    <r>
      <rPr>
        <color rgb="FF1155CC"/>
        <u/>
      </rPr>
      <t>Amazon.com: HP Hewlett Packard Business Negro USB Slim Style Windows Teclado mejorado P/N 803823-001 : Electrónica</t>
    </r>
  </si>
  <si>
    <t>Intel Core i5 de 7° generación | Kingstone 24 GB RAM DDR4 550MT/s | Disco sólido Adata de 512 GB | Monitor 24”</t>
  </si>
  <si>
    <r>
      <rPr>
        <color rgb="FF1155CC"/>
        <u/>
      </rPr>
      <t>Torre Dell Optiplex 7050 Micro Core I5 7th 8gb Ssd 240gb</t>
    </r>
  </si>
  <si>
    <t>Logitech óptico genérico USB cableado</t>
  </si>
  <si>
    <r>
      <rPr>
        <color rgb="FF1155CC"/>
        <u/>
      </rPr>
      <t>Mouse Logitech Alambrico Optico USB Negro M110 SILENT 910-005493</t>
    </r>
  </si>
  <si>
    <t>Hewlett-Packard mecánico USB</t>
  </si>
  <si>
    <t>Dual Band 2.4Ghz – 5Ghz | WiFi 5 / WiFi 6 | Vel. 30 Mbps Down / 20 Mbps Up</t>
  </si>
  <si>
    <t>Resolución 2K | sensor CMOS | 30-40 fps | FOV 70°–90°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</si>
</sst>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7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rgb="FF4A4A4A"/>
      <name val="Arial"/>
      <scheme val="minor"/>
    </font>
    <font>
      <u/>
      <color rgb="FF0000FF"/>
    </font>
    <font>
      <b/>
      <sz val="10.0"/>
      <color rgb="FF000000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4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shrinkToFit="0" wrapText="1"/>
    </xf>
    <xf borderId="4" fillId="2" fontId="6" numFmtId="164" xfId="0" applyAlignment="1" applyBorder="1" applyFill="1" applyFont="1" applyNumberFormat="1">
      <alignment horizontal="left" readingOrder="0"/>
    </xf>
    <xf borderId="4" fillId="0" fontId="3" numFmtId="164" xfId="0" applyBorder="1" applyFont="1" applyNumberFormat="1"/>
    <xf borderId="4" fillId="0" fontId="7" numFmtId="0" xfId="0" applyAlignment="1" applyBorder="1" applyFont="1">
      <alignment readingOrder="0" shrinkToFit="0" wrapText="1"/>
    </xf>
    <xf borderId="4" fillId="0" fontId="3" numFmtId="0" xfId="0" applyBorder="1" applyFont="1"/>
    <xf borderId="4" fillId="3" fontId="8" numFmtId="164" xfId="0" applyAlignment="1" applyBorder="1" applyFill="1" applyFont="1" applyNumberFormat="1">
      <alignment horizontal="left" readingOrder="0"/>
    </xf>
    <xf borderId="4" fillId="0" fontId="9" numFmtId="0" xfId="0" applyAlignment="1" applyBorder="1" applyFont="1">
      <alignment readingOrder="0" shrinkToFit="0" wrapText="1"/>
    </xf>
    <xf borderId="4" fillId="0" fontId="4" numFmtId="165" xfId="0" applyAlignment="1" applyBorder="1" applyFont="1" applyNumberFormat="1">
      <alignment horizontal="left" readingOrder="0"/>
    </xf>
    <xf borderId="4" fillId="0" fontId="3" numFmtId="165" xfId="0" applyBorder="1" applyFont="1" applyNumberFormat="1"/>
    <xf borderId="4" fillId="2" fontId="10" numFmtId="164" xfId="0" applyAlignment="1" applyBorder="1" applyFont="1" applyNumberFormat="1">
      <alignment horizontal="left" readingOrder="0"/>
    </xf>
    <xf borderId="4" fillId="0" fontId="3" numFmtId="0" xfId="0" applyAlignment="1" applyBorder="1" applyFont="1">
      <alignment readingOrder="0" shrinkToFit="0" vertical="bottom" wrapText="1"/>
    </xf>
    <xf borderId="4" fillId="2" fontId="11" numFmtId="165" xfId="0" applyAlignment="1" applyBorder="1" applyFont="1" applyNumberFormat="1">
      <alignment horizontal="left" readingOrder="0"/>
    </xf>
    <xf borderId="4" fillId="2" fontId="8" numFmtId="165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right" readingOrder="0"/>
    </xf>
    <xf borderId="1" fillId="0" fontId="3" numFmtId="164" xfId="0" applyAlignment="1" applyBorder="1" applyFont="1" applyNumberFormat="1">
      <alignment horizontal="left"/>
    </xf>
    <xf borderId="1" fillId="0" fontId="12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shrinkToFit="0" vertical="bottom" wrapText="1"/>
    </xf>
    <xf borderId="1" fillId="0" fontId="14" numFmtId="0" xfId="0" applyAlignment="1" applyBorder="1" applyFont="1">
      <alignment horizontal="center"/>
    </xf>
    <xf borderId="1" fillId="0" fontId="13" numFmtId="0" xfId="0" applyAlignment="1" applyBorder="1" applyFont="1">
      <alignment horizontal="center" shrinkToFit="0" wrapText="1"/>
    </xf>
    <xf borderId="4" fillId="0" fontId="15" numFmtId="0" xfId="0" applyAlignment="1" applyBorder="1" applyFont="1">
      <alignment horizontal="center" shrinkToFit="0" vertical="bottom" wrapText="1"/>
    </xf>
    <xf borderId="4" fillId="0" fontId="15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vertical="bottom"/>
    </xf>
    <xf borderId="4" fillId="0" fontId="13" numFmtId="0" xfId="0" applyBorder="1" applyFont="1"/>
    <xf borderId="4" fillId="0" fontId="15" numFmtId="0" xfId="0" applyBorder="1" applyFont="1"/>
    <xf borderId="4" fillId="0" fontId="15" numFmtId="0" xfId="0" applyAlignment="1" applyBorder="1" applyFont="1">
      <alignment shrinkToFit="0" vertical="bottom" wrapText="1"/>
    </xf>
    <xf borderId="4" fillId="0" fontId="13" numFmtId="0" xfId="0" applyAlignment="1" applyBorder="1" applyFon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4" fillId="0" fontId="15" numFmtId="164" xfId="0" applyAlignment="1" applyBorder="1" applyFont="1" applyNumberFormat="1">
      <alignment horizontal="right" vertical="bottom"/>
    </xf>
    <xf borderId="4" fillId="0" fontId="16" numFmtId="0" xfId="0" applyAlignment="1" applyBorder="1" applyFont="1">
      <alignment shrinkToFit="0" vertical="bottom" wrapText="1"/>
    </xf>
    <xf borderId="4" fillId="0" fontId="15" numFmtId="0" xfId="0" applyAlignment="1" applyBorder="1" applyFont="1">
      <alignment vertical="bottom"/>
    </xf>
    <xf borderId="0" fillId="0" fontId="15" numFmtId="165" xfId="0" applyAlignment="1" applyFont="1" applyNumberFormat="1">
      <alignment horizontal="right" vertical="bottom"/>
    </xf>
    <xf borderId="4" fillId="0" fontId="15" numFmtId="165" xfId="0" applyAlignment="1" applyBorder="1" applyFont="1" applyNumberFormat="1">
      <alignment horizontal="right" vertical="bottom"/>
    </xf>
    <xf borderId="1" fillId="0" fontId="15" numFmtId="0" xfId="0" applyAlignment="1" applyBorder="1" applyFont="1">
      <alignment horizontal="right" vertical="bottom"/>
    </xf>
    <xf borderId="1" fillId="0" fontId="15" numFmtId="164" xfId="0" applyAlignment="1" applyBorder="1" applyFont="1" applyNumberFormat="1">
      <alignment horizontal="lef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ercadolibre.com.co/teclado-logitech-k120-usb/p/MCO6052210" TargetMode="External"/><Relationship Id="rId10" Type="http://schemas.openxmlformats.org/officeDocument/2006/relationships/hyperlink" Target="https://www.alkosto.com/mouse-logitech-inalambrico-m185/p/097855067122" TargetMode="External"/><Relationship Id="rId13" Type="http://schemas.openxmlformats.org/officeDocument/2006/relationships/hyperlink" Target="https://www.alkosto.com/router-tp-link-archer-ax20-ax1800/p/840030704605" TargetMode="External"/><Relationship Id="rId12" Type="http://schemas.openxmlformats.org/officeDocument/2006/relationships/hyperlink" Target="https://www.kmsystemspc.com/MCO-1606496071-torre-dell-optiplex-7050-micro-core-i5-7th-8gb-ssd-240gb-_JM?variation=188598937117" TargetMode="External"/><Relationship Id="rId1" Type="http://schemas.openxmlformats.org/officeDocument/2006/relationships/hyperlink" Target="https://www.falabella.com.co/falabella-co/product/140970655/PORTATIL-DELL-INTEL-CORE-I3-1215U-1TB-SSD-16GB-RAM-156-FHD/140970656?" TargetMode="External"/><Relationship Id="rId2" Type="http://schemas.openxmlformats.org/officeDocument/2006/relationships/hyperlink" Target="https://encarguelo.com/producto/B0BN1VRT4T/dell-computadora-de-escritorio-optiplex-7050-intel-core-i5-7500-340ghz-16gb-ddr4-ram-1tb-ssd-wi-fi-integrado-bluetooth-windows-11-pro-soporte-4k-hd-graphics-630-renovado?" TargetMode="External"/><Relationship Id="rId3" Type="http://schemas.openxmlformats.org/officeDocument/2006/relationships/hyperlink" Target="https://www.claroshop.com/producto/1481023/mouse-logitech-alambrico-optico-usb-negro-m110-silent-910-005493" TargetMode="External"/><Relationship Id="rId4" Type="http://schemas.openxmlformats.org/officeDocument/2006/relationships/hyperlink" Target="https://www.amazon.com/-/es/Hewlett-Packard-Business-mejorado-803823-001/dp/B017JP0GS4" TargetMode="External"/><Relationship Id="rId9" Type="http://schemas.openxmlformats.org/officeDocument/2006/relationships/hyperlink" Target="https://encarguelo.com/producto/B0BN1VRT4T/dell-computadora-de-escritorio-optiplex-7050-intel-core-i5-7500-340ghz-16gb-ddr4-ram-1tb-ssd-wi-fi-integrado-bluetooth-windows-11-pro-soporte-4k-hd-graphics-630-renovado?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mercadolibre.com.co/camara-web-usb-full-hd-2k-para-computadora-con-microfono/p/MCO2006687087?matt_tool=19390127&amp;pdp_filters=item_id%3AMCO2330707766&amp;from=gshop" TargetMode="External"/><Relationship Id="rId5" Type="http://schemas.openxmlformats.org/officeDocument/2006/relationships/hyperlink" Target="https://www.kmsystemspc.com/MCO-1606496071-torre-dell-optiplex-7050-micro-core-i5-7th-8gb-ssd-240gb-_JM?variation=188598937117" TargetMode="External"/><Relationship Id="rId6" Type="http://schemas.openxmlformats.org/officeDocument/2006/relationships/hyperlink" Target="https://www.alkosto.com/router-tp-link-wifi-6-4-antenas-ax1500-mbps-archer-ax12/p/840030705380?" TargetMode="External"/><Relationship Id="rId7" Type="http://schemas.openxmlformats.org/officeDocument/2006/relationships/hyperlink" Target="https://www.mercadolibre.com.co/camara-web-usb-full-hd-2k-para-computadora-con-microfono/p/MCO2006687087?matt_tool=19390127&amp;pdp_filters=item_id%3AMCO2330707766&amp;from=gshop" TargetMode="External"/><Relationship Id="rId8" Type="http://schemas.openxmlformats.org/officeDocument/2006/relationships/hyperlink" Target="https://www.falabella.com.co/falabella-co/product/140970655/PORTATIL-DELL-INTEL-CORE-I3-1215U-1TB-SSD-16GB-RAM-156-FHD/140970656?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labella.com.co/falabella-co/product/140970655/PORTATIL-DELL-INTEL-CORE-I3-1215U-1TB-SSD-16GB-RAM-156-FHD/140970656?" TargetMode="External"/><Relationship Id="rId2" Type="http://schemas.openxmlformats.org/officeDocument/2006/relationships/hyperlink" Target="https://encarguelo.com/producto/B0BN1VRT4T/dell-computadora-de-escritorio-optiplex-7050-intel-core-i5-7500-340ghz-16gb-ddr4-ram-1tb-ssd-wi-fi-integrado-bluetooth-windows-11-pro-soporte-4k-hd-graphics-630-renovado?" TargetMode="External"/><Relationship Id="rId3" Type="http://schemas.openxmlformats.org/officeDocument/2006/relationships/hyperlink" Target="https://www.claroshop.com/producto/1481023/mouse-logitech-alambrico-optico-usb-negro-m110-silent-910-005493" TargetMode="External"/><Relationship Id="rId4" Type="http://schemas.openxmlformats.org/officeDocument/2006/relationships/hyperlink" Target="https://www.amazon.com/-/es/Hewlett-Packard-Business-mejorado-803823-001/dp/B017JP0GS4" TargetMode="External"/><Relationship Id="rId5" Type="http://schemas.openxmlformats.org/officeDocument/2006/relationships/hyperlink" Target="https://www.kmsystemspc.com/MCO-1606496071-torre-dell-optiplex-7050-micro-core-i5-7th-8gb-ssd-240gb-_JM?variation=188598937117" TargetMode="External"/><Relationship Id="rId6" Type="http://schemas.openxmlformats.org/officeDocument/2006/relationships/hyperlink" Target="https://www.alkosto.com/router-tp-link-wifi-6-4-antenas-ax1500-mbps-archer-ax12/p/840030705380?" TargetMode="External"/><Relationship Id="rId7" Type="http://schemas.openxmlformats.org/officeDocument/2006/relationships/hyperlink" Target="https://www.mercadolibre.com.co/camara-web-usb-full-hd-2k-para-computadora-con-microfono/p/MCO2006687087?matt_tool=19390127&amp;pdp_filters=item_id%3AMCO2330707766&amp;from=gshop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www.mercadolibre.com.co/camara-web-usb-full-hd-2k-para-computadora-con-microfono/p/MCO2006687087?matt_tool=19390127&amp;pdp_filters=item_id%3AMCO2330707766&amp;from=gshop" TargetMode="External"/><Relationship Id="rId1" Type="http://schemas.openxmlformats.org/officeDocument/2006/relationships/hyperlink" Target="https://www.kmsystemspc.com/MCO-1606496071-torre-dell-optiplex-7050-micro-core-i5-7th-8gb-ssd-240gb-_JM?variation=188598937117" TargetMode="External"/><Relationship Id="rId2" Type="http://schemas.openxmlformats.org/officeDocument/2006/relationships/hyperlink" Target="https://www.claroshop.com/producto/1481023/mouse-logitech-alambrico-optico-usb-negro-m110-silent-910-005493" TargetMode="External"/><Relationship Id="rId3" Type="http://schemas.openxmlformats.org/officeDocument/2006/relationships/hyperlink" Target="https://www.amazon.com/-/es/Hewlett-Packard-Business-mejorado-803823-001/dp/B017JP0GS4" TargetMode="External"/><Relationship Id="rId4" Type="http://schemas.openxmlformats.org/officeDocument/2006/relationships/hyperlink" Target="https://www.alkosto.com/router-tp-link-wifi-6-4-antenas-ax1500-mbps-archer-ax12/p/840030705380?" TargetMode="External"/><Relationship Id="rId9" Type="http://schemas.openxmlformats.org/officeDocument/2006/relationships/hyperlink" Target="https://www.alkosto.com/router-tp-link-wifi-6-4-antenas-ax1500-mbps-archer-ax12/p/840030705380?" TargetMode="External"/><Relationship Id="rId5" Type="http://schemas.openxmlformats.org/officeDocument/2006/relationships/hyperlink" Target="https://www.mercadolibre.com.co/camara-web-usb-full-hd-2k-para-computadora-con-microfono/p/MCO2006687087?matt_tool=19390127&amp;pdp_filters=item_id%3AMCO2330707766&amp;from=gshop" TargetMode="External"/><Relationship Id="rId6" Type="http://schemas.openxmlformats.org/officeDocument/2006/relationships/hyperlink" Target="https://www.kmsystemspc.com/MCO-1606496071-torre-dell-optiplex-7050-micro-core-i5-7th-8gb-ssd-240gb-_JM?variation=188598937117" TargetMode="External"/><Relationship Id="rId7" Type="http://schemas.openxmlformats.org/officeDocument/2006/relationships/hyperlink" Target="https://www.claroshop.com/producto/1481023/mouse-logitech-alambrico-optico-usb-negro-m110-silent-910-005493" TargetMode="External"/><Relationship Id="rId8" Type="http://schemas.openxmlformats.org/officeDocument/2006/relationships/hyperlink" Target="https://www.mercadolibre.com.co/camara-web-usb-full-hd-2k-para-computadora-con-microfono/p/MCO2006687087?matt_tool=19390127&amp;pdp_filters=item_id%3AMCO2330707766&amp;from=gsh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4.5"/>
    <col customWidth="1" min="3" max="3" width="17.13"/>
    <col customWidth="1" min="4" max="4" width="55.63"/>
    <col customWidth="1" min="7" max="7" width="11.25"/>
    <col customWidth="1" min="8" max="8" width="9.5"/>
    <col customWidth="1" min="9" max="9" width="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9" t="s">
        <v>5</v>
      </c>
      <c r="I2" s="8" t="s">
        <v>6</v>
      </c>
      <c r="J2" s="4"/>
      <c r="K2" s="4"/>
      <c r="L2" s="4"/>
      <c r="M2" s="4"/>
      <c r="N2" s="4"/>
      <c r="O2" s="4"/>
      <c r="P2" s="4"/>
      <c r="Q2" s="4"/>
    </row>
    <row r="3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</row>
    <row r="4" ht="38.25" customHeight="1">
      <c r="A4" s="11" t="s">
        <v>16</v>
      </c>
      <c r="B4" s="12" t="s">
        <v>17</v>
      </c>
      <c r="C4" s="13" t="s">
        <v>18</v>
      </c>
      <c r="D4" s="14" t="s">
        <v>19</v>
      </c>
      <c r="E4" s="10">
        <v>3.0</v>
      </c>
      <c r="F4" s="15">
        <v>1689900.0</v>
      </c>
      <c r="G4" s="16">
        <f t="shared" ref="G4:G10" si="1">F4*E4</f>
        <v>5069700</v>
      </c>
      <c r="H4" s="17" t="s">
        <v>20</v>
      </c>
      <c r="I4" s="18"/>
    </row>
    <row r="5" ht="39.75" customHeight="1">
      <c r="A5" s="11" t="s">
        <v>21</v>
      </c>
      <c r="B5" s="13" t="s">
        <v>22</v>
      </c>
      <c r="C5" s="13" t="s">
        <v>23</v>
      </c>
      <c r="D5" s="14" t="s">
        <v>24</v>
      </c>
      <c r="E5" s="10">
        <v>1.0</v>
      </c>
      <c r="F5" s="19">
        <v>1119027.0</v>
      </c>
      <c r="G5" s="16">
        <f t="shared" si="1"/>
        <v>1119027</v>
      </c>
      <c r="H5" s="20" t="s">
        <v>25</v>
      </c>
      <c r="I5" s="18"/>
    </row>
    <row r="6" ht="38.25" customHeight="1">
      <c r="A6" s="11" t="s">
        <v>26</v>
      </c>
      <c r="B6" s="13" t="s">
        <v>27</v>
      </c>
      <c r="C6" s="13" t="s">
        <v>28</v>
      </c>
      <c r="D6" s="14" t="s">
        <v>29</v>
      </c>
      <c r="E6" s="10">
        <v>3.0</v>
      </c>
      <c r="F6" s="21">
        <v>38250.0</v>
      </c>
      <c r="G6" s="22">
        <f t="shared" si="1"/>
        <v>114750</v>
      </c>
      <c r="H6" s="20" t="s">
        <v>30</v>
      </c>
      <c r="I6" s="18"/>
    </row>
    <row r="7" ht="40.5" customHeight="1">
      <c r="A7" s="11" t="s">
        <v>31</v>
      </c>
      <c r="B7" s="13" t="s">
        <v>32</v>
      </c>
      <c r="C7" s="13" t="s">
        <v>28</v>
      </c>
      <c r="D7" s="14" t="s">
        <v>33</v>
      </c>
      <c r="E7" s="10">
        <v>3.0</v>
      </c>
      <c r="F7" s="21">
        <v>65150.0</v>
      </c>
      <c r="G7" s="22">
        <f t="shared" si="1"/>
        <v>195450</v>
      </c>
      <c r="H7" s="20" t="s">
        <v>34</v>
      </c>
      <c r="I7" s="18"/>
    </row>
    <row r="8" ht="38.25" customHeight="1">
      <c r="A8" s="11" t="s">
        <v>35</v>
      </c>
      <c r="B8" s="13" t="s">
        <v>36</v>
      </c>
      <c r="C8" s="13" t="s">
        <v>37</v>
      </c>
      <c r="D8" s="14" t="s">
        <v>38</v>
      </c>
      <c r="E8" s="10">
        <v>1.0</v>
      </c>
      <c r="F8" s="23">
        <v>1099999.0</v>
      </c>
      <c r="G8" s="16">
        <f t="shared" si="1"/>
        <v>1099999</v>
      </c>
      <c r="H8" s="20" t="s">
        <v>39</v>
      </c>
      <c r="I8" s="18"/>
    </row>
    <row r="9" ht="36.75" customHeight="1">
      <c r="A9" s="11" t="s">
        <v>40</v>
      </c>
      <c r="B9" s="13" t="s">
        <v>41</v>
      </c>
      <c r="C9" s="13" t="s">
        <v>42</v>
      </c>
      <c r="D9" s="24" t="s">
        <v>43</v>
      </c>
      <c r="E9" s="10">
        <v>1.0</v>
      </c>
      <c r="F9" s="25">
        <v>179900.0</v>
      </c>
      <c r="G9" s="22">
        <f t="shared" si="1"/>
        <v>179900</v>
      </c>
      <c r="H9" s="20" t="s">
        <v>44</v>
      </c>
      <c r="I9" s="18"/>
    </row>
    <row r="10" ht="40.5" customHeight="1">
      <c r="A10" s="11" t="s">
        <v>45</v>
      </c>
      <c r="B10" s="13" t="s">
        <v>46</v>
      </c>
      <c r="C10" s="13" t="s">
        <v>47</v>
      </c>
      <c r="D10" s="14" t="s">
        <v>48</v>
      </c>
      <c r="E10" s="10">
        <v>1.0</v>
      </c>
      <c r="F10" s="26">
        <v>96600.0</v>
      </c>
      <c r="G10" s="22">
        <f t="shared" si="1"/>
        <v>96600</v>
      </c>
      <c r="H10" s="20" t="s">
        <v>49</v>
      </c>
      <c r="I10" s="18"/>
    </row>
    <row r="11">
      <c r="A11" s="27" t="s">
        <v>50</v>
      </c>
      <c r="B11" s="2"/>
      <c r="C11" s="2"/>
      <c r="D11" s="2"/>
      <c r="E11" s="2"/>
      <c r="F11" s="3"/>
      <c r="G11" s="28">
        <f>SUM(G4:G10)</f>
        <v>7875426</v>
      </c>
      <c r="H11" s="2"/>
      <c r="I11" s="3"/>
    </row>
    <row r="22">
      <c r="A22" s="29" t="s">
        <v>0</v>
      </c>
      <c r="B22" s="2"/>
      <c r="C22" s="2"/>
      <c r="D22" s="2"/>
      <c r="E22" s="2"/>
      <c r="F22" s="2"/>
      <c r="G22" s="2"/>
      <c r="H22" s="2"/>
      <c r="I22" s="3"/>
    </row>
    <row r="23">
      <c r="A23" s="30" t="s">
        <v>1</v>
      </c>
      <c r="B23" s="31" t="s">
        <v>2</v>
      </c>
      <c r="C23" s="2"/>
      <c r="D23" s="3"/>
      <c r="E23" s="32" t="s">
        <v>3</v>
      </c>
      <c r="F23" s="3"/>
      <c r="G23" s="33" t="s">
        <v>4</v>
      </c>
      <c r="H23" s="34" t="s">
        <v>5</v>
      </c>
      <c r="I23" s="33" t="s">
        <v>6</v>
      </c>
    </row>
    <row r="24">
      <c r="A24" s="35" t="s">
        <v>7</v>
      </c>
      <c r="B24" s="35" t="s">
        <v>8</v>
      </c>
      <c r="C24" s="35" t="s">
        <v>9</v>
      </c>
      <c r="D24" s="35" t="s">
        <v>10</v>
      </c>
      <c r="E24" s="35" t="s">
        <v>11</v>
      </c>
      <c r="F24" s="35" t="s">
        <v>12</v>
      </c>
      <c r="G24" s="35" t="s">
        <v>13</v>
      </c>
      <c r="H24" s="35" t="s">
        <v>14</v>
      </c>
      <c r="I24" s="35" t="s">
        <v>15</v>
      </c>
    </row>
    <row r="25" ht="42.75" customHeight="1">
      <c r="A25" s="36" t="s">
        <v>16</v>
      </c>
      <c r="B25" s="37" t="s">
        <v>51</v>
      </c>
      <c r="C25" s="37" t="s">
        <v>18</v>
      </c>
      <c r="D25" s="38" t="s">
        <v>52</v>
      </c>
      <c r="E25" s="39">
        <v>3.0</v>
      </c>
      <c r="F25" s="40">
        <v>2099000.0</v>
      </c>
      <c r="G25" s="41">
        <f t="shared" ref="G25:G31" si="2">F25*E25</f>
        <v>6297000</v>
      </c>
      <c r="H25" s="42" t="s">
        <v>20</v>
      </c>
      <c r="I25" s="43"/>
    </row>
    <row r="26" ht="34.5" customHeight="1">
      <c r="A26" s="36" t="s">
        <v>21</v>
      </c>
      <c r="B26" s="37" t="s">
        <v>53</v>
      </c>
      <c r="C26" s="37" t="s">
        <v>23</v>
      </c>
      <c r="D26" s="38" t="s">
        <v>54</v>
      </c>
      <c r="E26" s="39">
        <v>1.0</v>
      </c>
      <c r="F26" s="41">
        <v>1699000.0</v>
      </c>
      <c r="G26" s="41">
        <f t="shared" si="2"/>
        <v>1699000</v>
      </c>
      <c r="H26" s="42" t="s">
        <v>25</v>
      </c>
      <c r="I26" s="43"/>
    </row>
    <row r="27" ht="42.75" customHeight="1">
      <c r="A27" s="36" t="s">
        <v>26</v>
      </c>
      <c r="B27" s="37" t="s">
        <v>55</v>
      </c>
      <c r="C27" s="37" t="s">
        <v>28</v>
      </c>
      <c r="D27" s="38" t="s">
        <v>29</v>
      </c>
      <c r="E27" s="39">
        <v>3.0</v>
      </c>
      <c r="F27" s="44">
        <v>54900.0</v>
      </c>
      <c r="G27" s="45">
        <f t="shared" si="2"/>
        <v>164700</v>
      </c>
      <c r="H27" s="42" t="s">
        <v>56</v>
      </c>
      <c r="I27" s="43"/>
    </row>
    <row r="28" ht="39.75" customHeight="1">
      <c r="A28" s="36" t="s">
        <v>31</v>
      </c>
      <c r="B28" s="37" t="s">
        <v>57</v>
      </c>
      <c r="C28" s="37" t="s">
        <v>28</v>
      </c>
      <c r="D28" s="38" t="s">
        <v>33</v>
      </c>
      <c r="E28" s="39">
        <v>3.0</v>
      </c>
      <c r="F28" s="45">
        <v>49900.0</v>
      </c>
      <c r="G28" s="45">
        <f t="shared" si="2"/>
        <v>149700</v>
      </c>
      <c r="H28" s="42" t="s">
        <v>58</v>
      </c>
      <c r="I28" s="43"/>
    </row>
    <row r="29" ht="39.75" customHeight="1">
      <c r="A29" s="36" t="s">
        <v>35</v>
      </c>
      <c r="B29" s="37" t="s">
        <v>59</v>
      </c>
      <c r="C29" s="37" t="s">
        <v>37</v>
      </c>
      <c r="D29" s="38" t="s">
        <v>38</v>
      </c>
      <c r="E29" s="39">
        <v>1.0</v>
      </c>
      <c r="F29" s="40">
        <v>3200000.0</v>
      </c>
      <c r="G29" s="41">
        <f t="shared" si="2"/>
        <v>3200000</v>
      </c>
      <c r="H29" s="42" t="s">
        <v>60</v>
      </c>
      <c r="I29" s="43"/>
    </row>
    <row r="30" ht="42.75" customHeight="1">
      <c r="A30" s="36" t="s">
        <v>40</v>
      </c>
      <c r="B30" s="37" t="s">
        <v>61</v>
      </c>
      <c r="C30" s="37" t="s">
        <v>42</v>
      </c>
      <c r="D30" s="38" t="s">
        <v>43</v>
      </c>
      <c r="E30" s="39">
        <v>1.0</v>
      </c>
      <c r="F30" s="44">
        <v>249900.0</v>
      </c>
      <c r="G30" s="45">
        <f t="shared" si="2"/>
        <v>249900</v>
      </c>
      <c r="H30" s="42" t="s">
        <v>62</v>
      </c>
      <c r="I30" s="43"/>
    </row>
    <row r="31" ht="44.25" customHeight="1">
      <c r="A31" s="36" t="s">
        <v>45</v>
      </c>
      <c r="B31" s="37" t="s">
        <v>63</v>
      </c>
      <c r="C31" s="37" t="s">
        <v>47</v>
      </c>
      <c r="D31" s="38" t="s">
        <v>48</v>
      </c>
      <c r="E31" s="39">
        <v>1.0</v>
      </c>
      <c r="F31" s="44">
        <v>279900.0</v>
      </c>
      <c r="G31" s="45">
        <f t="shared" si="2"/>
        <v>279900</v>
      </c>
      <c r="H31" s="42" t="s">
        <v>49</v>
      </c>
      <c r="I31" s="43"/>
    </row>
    <row r="32">
      <c r="A32" s="46" t="s">
        <v>50</v>
      </c>
      <c r="B32" s="2"/>
      <c r="C32" s="2"/>
      <c r="D32" s="2"/>
      <c r="E32" s="2"/>
      <c r="F32" s="3"/>
      <c r="G32" s="47">
        <f>SUM(G25:G31)</f>
        <v>12040200</v>
      </c>
      <c r="H32" s="2"/>
      <c r="I32" s="3"/>
    </row>
  </sheetData>
  <mergeCells count="10">
    <mergeCell ref="B23:D23"/>
    <mergeCell ref="A32:F32"/>
    <mergeCell ref="G32:I32"/>
    <mergeCell ref="A1:I1"/>
    <mergeCell ref="B2:D2"/>
    <mergeCell ref="E2:F2"/>
    <mergeCell ref="A11:F11"/>
    <mergeCell ref="G11:I11"/>
    <mergeCell ref="A22:I22"/>
    <mergeCell ref="E23:F23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  <hyperlink r:id="rId8" ref="H25"/>
    <hyperlink r:id="rId9" ref="H26"/>
    <hyperlink r:id="rId10" ref="H27"/>
    <hyperlink r:id="rId11" ref="H28"/>
    <hyperlink r:id="rId12" ref="H29"/>
    <hyperlink r:id="rId13" ref="H30"/>
    <hyperlink r:id="rId14" ref="H31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03.0"/>
    <col customWidth="1" min="3" max="3" width="21.38"/>
    <col customWidth="1" min="4" max="4" width="6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9" t="s">
        <v>5</v>
      </c>
      <c r="I2" s="8" t="s">
        <v>6</v>
      </c>
    </row>
    <row r="3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</row>
    <row r="4" ht="42.75" customHeight="1">
      <c r="A4" s="11" t="s">
        <v>16</v>
      </c>
      <c r="B4" s="12" t="s">
        <v>17</v>
      </c>
      <c r="C4" s="13" t="s">
        <v>18</v>
      </c>
      <c r="D4" s="14" t="s">
        <v>19</v>
      </c>
      <c r="E4" s="10">
        <v>3.0</v>
      </c>
      <c r="F4" s="15">
        <v>1689900.0</v>
      </c>
      <c r="G4" s="16">
        <f t="shared" ref="G4:G10" si="1">F4*E4</f>
        <v>5069700</v>
      </c>
      <c r="H4" s="17" t="s">
        <v>20</v>
      </c>
      <c r="I4" s="18"/>
    </row>
    <row r="5">
      <c r="A5" s="11" t="s">
        <v>21</v>
      </c>
      <c r="B5" s="13" t="s">
        <v>22</v>
      </c>
      <c r="C5" s="13" t="s">
        <v>23</v>
      </c>
      <c r="D5" s="14" t="s">
        <v>24</v>
      </c>
      <c r="E5" s="10">
        <v>1.0</v>
      </c>
      <c r="F5" s="19">
        <v>1119027.0</v>
      </c>
      <c r="G5" s="16">
        <f t="shared" si="1"/>
        <v>1119027</v>
      </c>
      <c r="H5" s="20" t="s">
        <v>25</v>
      </c>
      <c r="I5" s="18"/>
    </row>
    <row r="6">
      <c r="A6" s="11" t="s">
        <v>26</v>
      </c>
      <c r="B6" s="13" t="s">
        <v>27</v>
      </c>
      <c r="C6" s="13" t="s">
        <v>28</v>
      </c>
      <c r="D6" s="14" t="s">
        <v>29</v>
      </c>
      <c r="E6" s="10">
        <v>3.0</v>
      </c>
      <c r="F6" s="21">
        <v>38250.0</v>
      </c>
      <c r="G6" s="22">
        <f t="shared" si="1"/>
        <v>114750</v>
      </c>
      <c r="H6" s="20" t="s">
        <v>64</v>
      </c>
      <c r="I6" s="18"/>
    </row>
    <row r="7">
      <c r="A7" s="11" t="s">
        <v>31</v>
      </c>
      <c r="B7" s="13" t="s">
        <v>32</v>
      </c>
      <c r="C7" s="13" t="s">
        <v>28</v>
      </c>
      <c r="D7" s="14" t="s">
        <v>33</v>
      </c>
      <c r="E7" s="10">
        <v>3.0</v>
      </c>
      <c r="F7" s="21">
        <v>65150.0</v>
      </c>
      <c r="G7" s="22">
        <f t="shared" si="1"/>
        <v>195450</v>
      </c>
      <c r="H7" s="20" t="s">
        <v>65</v>
      </c>
      <c r="I7" s="18"/>
    </row>
    <row r="8">
      <c r="A8" s="11" t="s">
        <v>35</v>
      </c>
      <c r="B8" s="13" t="s">
        <v>36</v>
      </c>
      <c r="C8" s="13" t="s">
        <v>37</v>
      </c>
      <c r="D8" s="14" t="s">
        <v>38</v>
      </c>
      <c r="E8" s="10">
        <v>1.0</v>
      </c>
      <c r="F8" s="23">
        <v>1099999.0</v>
      </c>
      <c r="G8" s="16">
        <f t="shared" si="1"/>
        <v>1099999</v>
      </c>
      <c r="H8" s="20" t="s">
        <v>66</v>
      </c>
      <c r="I8" s="18"/>
    </row>
    <row r="9">
      <c r="A9" s="11" t="s">
        <v>40</v>
      </c>
      <c r="B9" s="13" t="s">
        <v>41</v>
      </c>
      <c r="C9" s="13" t="s">
        <v>42</v>
      </c>
      <c r="D9" s="24" t="s">
        <v>43</v>
      </c>
      <c r="E9" s="10">
        <v>1.0</v>
      </c>
      <c r="F9" s="25">
        <v>179900.0</v>
      </c>
      <c r="G9" s="22">
        <f t="shared" si="1"/>
        <v>179900</v>
      </c>
      <c r="H9" s="20" t="s">
        <v>44</v>
      </c>
      <c r="I9" s="18"/>
    </row>
    <row r="10">
      <c r="A10" s="11" t="s">
        <v>45</v>
      </c>
      <c r="B10" s="13" t="s">
        <v>46</v>
      </c>
      <c r="C10" s="13" t="s">
        <v>47</v>
      </c>
      <c r="D10" s="14" t="s">
        <v>48</v>
      </c>
      <c r="E10" s="10">
        <v>1.0</v>
      </c>
      <c r="F10" s="26">
        <v>96600.0</v>
      </c>
      <c r="G10" s="22">
        <f t="shared" si="1"/>
        <v>96600</v>
      </c>
      <c r="H10" s="20" t="s">
        <v>49</v>
      </c>
      <c r="I10" s="18"/>
    </row>
    <row r="11">
      <c r="A11" s="27" t="s">
        <v>50</v>
      </c>
      <c r="B11" s="2"/>
      <c r="C11" s="2"/>
      <c r="D11" s="2"/>
      <c r="E11" s="2"/>
      <c r="F11" s="3"/>
      <c r="G11" s="28">
        <f>SUM(G4:G10)</f>
        <v>7875426</v>
      </c>
      <c r="H11" s="2"/>
      <c r="I11" s="3"/>
    </row>
  </sheetData>
  <mergeCells count="5">
    <mergeCell ref="A1:I1"/>
    <mergeCell ref="B2:D2"/>
    <mergeCell ref="E2:F2"/>
    <mergeCell ref="A11:F11"/>
    <mergeCell ref="G11:I11"/>
  </mergeCells>
  <hyperlinks>
    <hyperlink r:id="rId1" ref="H4"/>
    <hyperlink r:id="rId2" ref="H5"/>
    <hyperlink r:id="rId3" ref="H6"/>
    <hyperlink r:id="rId4" ref="H7"/>
    <hyperlink r:id="rId5" ref="H8"/>
    <hyperlink r:id="rId6" ref="H9"/>
    <hyperlink r:id="rId7" ref="H10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8.25"/>
    <col customWidth="1" min="4" max="4" width="49.38"/>
  </cols>
  <sheetData>
    <row r="1">
      <c r="A1" s="1" t="s">
        <v>67</v>
      </c>
      <c r="B1" s="2"/>
      <c r="C1" s="2"/>
      <c r="D1" s="2"/>
      <c r="E1" s="2"/>
      <c r="F1" s="2"/>
      <c r="G1" s="2"/>
      <c r="H1" s="2"/>
      <c r="I1" s="3"/>
    </row>
    <row r="2">
      <c r="A2" s="5" t="s">
        <v>68</v>
      </c>
      <c r="B2" s="6" t="s">
        <v>2</v>
      </c>
      <c r="C2" s="2"/>
      <c r="D2" s="3"/>
      <c r="E2" s="7" t="s">
        <v>3</v>
      </c>
      <c r="F2" s="3"/>
      <c r="G2" s="8" t="s">
        <v>4</v>
      </c>
      <c r="H2" s="9" t="s">
        <v>5</v>
      </c>
      <c r="I2" s="8" t="s">
        <v>6</v>
      </c>
    </row>
    <row r="3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</row>
    <row r="4" ht="38.25" customHeight="1">
      <c r="A4" s="11" t="s">
        <v>35</v>
      </c>
      <c r="B4" s="13" t="s">
        <v>36</v>
      </c>
      <c r="C4" s="13" t="s">
        <v>37</v>
      </c>
      <c r="D4" s="14" t="s">
        <v>69</v>
      </c>
      <c r="E4" s="10">
        <v>1.0</v>
      </c>
      <c r="F4" s="23">
        <v>1099999.0</v>
      </c>
      <c r="G4" s="16">
        <f t="shared" ref="G4:G8" si="1">F4*E4</f>
        <v>1099999</v>
      </c>
      <c r="H4" s="20" t="s">
        <v>70</v>
      </c>
      <c r="I4" s="18"/>
    </row>
    <row r="5" ht="39.0" customHeight="1">
      <c r="A5" s="11" t="s">
        <v>26</v>
      </c>
      <c r="B5" s="13" t="s">
        <v>27</v>
      </c>
      <c r="C5" s="13" t="s">
        <v>28</v>
      </c>
      <c r="D5" s="14" t="s">
        <v>29</v>
      </c>
      <c r="E5" s="10">
        <v>3.0</v>
      </c>
      <c r="F5" s="21">
        <v>38250.0</v>
      </c>
      <c r="G5" s="22">
        <f t="shared" si="1"/>
        <v>114750</v>
      </c>
      <c r="H5" s="20" t="s">
        <v>71</v>
      </c>
      <c r="I5" s="18"/>
    </row>
    <row r="6" ht="37.5" customHeight="1">
      <c r="A6" s="11" t="s">
        <v>31</v>
      </c>
      <c r="B6" s="13" t="s">
        <v>32</v>
      </c>
      <c r="C6" s="13" t="s">
        <v>28</v>
      </c>
      <c r="D6" s="14" t="s">
        <v>33</v>
      </c>
      <c r="E6" s="10">
        <v>3.0</v>
      </c>
      <c r="F6" s="21">
        <v>65150.0</v>
      </c>
      <c r="G6" s="22">
        <f t="shared" si="1"/>
        <v>195450</v>
      </c>
      <c r="H6" s="20" t="s">
        <v>72</v>
      </c>
      <c r="I6" s="18"/>
    </row>
    <row r="7" ht="41.25" customHeight="1">
      <c r="A7" s="11" t="s">
        <v>40</v>
      </c>
      <c r="B7" s="13" t="s">
        <v>41</v>
      </c>
      <c r="C7" s="13" t="s">
        <v>42</v>
      </c>
      <c r="D7" s="24" t="s">
        <v>43</v>
      </c>
      <c r="E7" s="10">
        <v>1.0</v>
      </c>
      <c r="F7" s="25">
        <v>179900.0</v>
      </c>
      <c r="G7" s="22">
        <f t="shared" si="1"/>
        <v>179900</v>
      </c>
      <c r="H7" s="20" t="s">
        <v>44</v>
      </c>
      <c r="I7" s="18"/>
    </row>
    <row r="8" ht="38.25" customHeight="1">
      <c r="A8" s="11" t="s">
        <v>45</v>
      </c>
      <c r="B8" s="13" t="s">
        <v>46</v>
      </c>
      <c r="C8" s="13" t="s">
        <v>47</v>
      </c>
      <c r="D8" s="14" t="s">
        <v>48</v>
      </c>
      <c r="E8" s="10">
        <v>1.0</v>
      </c>
      <c r="F8" s="26">
        <v>96600.0</v>
      </c>
      <c r="G8" s="22">
        <f t="shared" si="1"/>
        <v>96600</v>
      </c>
      <c r="H8" s="20" t="s">
        <v>49</v>
      </c>
      <c r="I8" s="18"/>
    </row>
    <row r="9">
      <c r="A9" s="27" t="s">
        <v>50</v>
      </c>
      <c r="B9" s="2"/>
      <c r="C9" s="2"/>
      <c r="D9" s="2"/>
      <c r="E9" s="2"/>
      <c r="F9" s="3"/>
      <c r="G9" s="28">
        <f>SUM(G4:G8)</f>
        <v>1686699</v>
      </c>
      <c r="H9" s="2"/>
      <c r="I9" s="3"/>
    </row>
    <row r="20">
      <c r="A20" s="1" t="s">
        <v>67</v>
      </c>
      <c r="B20" s="2"/>
      <c r="C20" s="2"/>
      <c r="D20" s="2"/>
      <c r="E20" s="2"/>
      <c r="F20" s="2"/>
      <c r="G20" s="2"/>
      <c r="H20" s="2"/>
      <c r="I20" s="3"/>
    </row>
    <row r="21">
      <c r="A21" s="5" t="s">
        <v>68</v>
      </c>
      <c r="B21" s="6" t="s">
        <v>2</v>
      </c>
      <c r="C21" s="2"/>
      <c r="D21" s="3"/>
      <c r="E21" s="7" t="s">
        <v>3</v>
      </c>
      <c r="F21" s="3"/>
      <c r="G21" s="8" t="s">
        <v>4</v>
      </c>
      <c r="H21" s="9" t="s">
        <v>5</v>
      </c>
      <c r="I21" s="8" t="s">
        <v>6</v>
      </c>
    </row>
    <row r="22">
      <c r="A22" s="10" t="s">
        <v>7</v>
      </c>
      <c r="B22" s="10" t="s">
        <v>8</v>
      </c>
      <c r="C22" s="10" t="s">
        <v>9</v>
      </c>
      <c r="D22" s="10" t="s">
        <v>10</v>
      </c>
      <c r="E22" s="10" t="s">
        <v>11</v>
      </c>
      <c r="F22" s="10" t="s">
        <v>12</v>
      </c>
      <c r="G22" s="10" t="s">
        <v>13</v>
      </c>
      <c r="H22" s="10" t="s">
        <v>14</v>
      </c>
      <c r="I22" s="10" t="s">
        <v>15</v>
      </c>
    </row>
    <row r="23">
      <c r="A23" s="11" t="s">
        <v>35</v>
      </c>
      <c r="B23" s="48" t="s">
        <v>73</v>
      </c>
      <c r="C23" s="13" t="s">
        <v>37</v>
      </c>
      <c r="D23" s="14" t="s">
        <v>69</v>
      </c>
      <c r="E23" s="10">
        <v>1.0</v>
      </c>
      <c r="F23" s="49">
        <v>1099999.0</v>
      </c>
      <c r="G23" s="16">
        <f t="shared" ref="G23:G27" si="2">F23*E23</f>
        <v>1099999</v>
      </c>
      <c r="H23" s="20" t="s">
        <v>74</v>
      </c>
      <c r="I23" s="18"/>
    </row>
    <row r="24" ht="51.0" customHeight="1">
      <c r="A24" s="11" t="s">
        <v>26</v>
      </c>
      <c r="B24" s="48" t="s">
        <v>75</v>
      </c>
      <c r="C24" s="13" t="s">
        <v>28</v>
      </c>
      <c r="D24" s="14" t="s">
        <v>29</v>
      </c>
      <c r="E24" s="10">
        <v>3.0</v>
      </c>
      <c r="F24" s="50">
        <v>38250.0</v>
      </c>
      <c r="G24" s="22">
        <f t="shared" si="2"/>
        <v>114750</v>
      </c>
      <c r="H24" s="20" t="s">
        <v>76</v>
      </c>
      <c r="I24" s="18"/>
    </row>
    <row r="25" ht="45.75" customHeight="1">
      <c r="A25" s="11" t="s">
        <v>31</v>
      </c>
      <c r="B25" s="48" t="s">
        <v>77</v>
      </c>
      <c r="C25" s="13" t="s">
        <v>28</v>
      </c>
      <c r="D25" s="14" t="s">
        <v>33</v>
      </c>
      <c r="E25" s="10">
        <v>3.0</v>
      </c>
      <c r="F25" s="50">
        <v>65150.0</v>
      </c>
      <c r="G25" s="22">
        <f t="shared" si="2"/>
        <v>195450</v>
      </c>
      <c r="H25" s="20" t="s">
        <v>49</v>
      </c>
      <c r="I25" s="18"/>
    </row>
    <row r="26" ht="47.25" customHeight="1">
      <c r="A26" s="11" t="s">
        <v>40</v>
      </c>
      <c r="B26" s="48" t="s">
        <v>78</v>
      </c>
      <c r="C26" s="13" t="s">
        <v>42</v>
      </c>
      <c r="D26" s="24" t="s">
        <v>43</v>
      </c>
      <c r="E26" s="10">
        <v>1.0</v>
      </c>
      <c r="F26" s="50">
        <v>179900.0</v>
      </c>
      <c r="G26" s="22">
        <f t="shared" si="2"/>
        <v>179900</v>
      </c>
      <c r="H26" s="17" t="s">
        <v>44</v>
      </c>
      <c r="I26" s="18"/>
    </row>
    <row r="27" ht="46.5" customHeight="1">
      <c r="A27" s="11" t="s">
        <v>45</v>
      </c>
      <c r="B27" s="48" t="s">
        <v>79</v>
      </c>
      <c r="C27" s="13" t="s">
        <v>47</v>
      </c>
      <c r="D27" s="14" t="s">
        <v>48</v>
      </c>
      <c r="E27" s="10">
        <v>1.0</v>
      </c>
      <c r="F27" s="50">
        <v>96600.0</v>
      </c>
      <c r="G27" s="22">
        <f t="shared" si="2"/>
        <v>96600</v>
      </c>
      <c r="H27" s="20" t="s">
        <v>49</v>
      </c>
      <c r="I27" s="18"/>
    </row>
    <row r="28">
      <c r="A28" s="27" t="s">
        <v>50</v>
      </c>
      <c r="B28" s="2"/>
      <c r="C28" s="2"/>
      <c r="D28" s="2"/>
      <c r="E28" s="2"/>
      <c r="F28" s="3"/>
      <c r="G28" s="28">
        <f>SUM(G23:G27)</f>
        <v>1686699</v>
      </c>
      <c r="H28" s="2"/>
      <c r="I28" s="3"/>
    </row>
  </sheetData>
  <mergeCells count="10">
    <mergeCell ref="B21:D21"/>
    <mergeCell ref="A28:F28"/>
    <mergeCell ref="G28:I28"/>
    <mergeCell ref="A1:I1"/>
    <mergeCell ref="B2:D2"/>
    <mergeCell ref="E2:F2"/>
    <mergeCell ref="A9:F9"/>
    <mergeCell ref="G9:I9"/>
    <mergeCell ref="A20:I20"/>
    <mergeCell ref="E21:F21"/>
  </mergeCells>
  <hyperlinks>
    <hyperlink r:id="rId1" ref="H4"/>
    <hyperlink r:id="rId2" ref="H5"/>
    <hyperlink r:id="rId3" ref="H6"/>
    <hyperlink r:id="rId4" ref="H7"/>
    <hyperlink r:id="rId5" ref="H8"/>
    <hyperlink r:id="rId6" ref="H23"/>
    <hyperlink r:id="rId7" ref="H24"/>
    <hyperlink r:id="rId8" ref="H25"/>
    <hyperlink r:id="rId9" ref="H26"/>
    <hyperlink r:id="rId10" ref="H27"/>
  </hyperlinks>
  <drawing r:id="rId11"/>
</worksheet>
</file>